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xr:revisionPtr revIDLastSave="0" documentId="13_ncr:1_{24903254-724B-41F6-84A8-5F2CF091E252}" xr6:coauthVersionLast="47" xr6:coauthVersionMax="47" xr10:uidLastSave="{00000000-0000-0000-0000-000000000000}"/>
  <bookViews>
    <workbookView xWindow="-120" yWindow="-120" windowWidth="20730" windowHeight="11040" tabRatio="21" xr2:uid="{E3416DE9-1715-4D48-A7FD-AE495C3CF799}"/>
  </bookViews>
  <sheets>
    <sheet name="Planilha1" sheetId="1" r:id="rId1"/>
    <sheet name="Planilha2" sheetId="2" r:id="rId2"/>
  </sheets>
  <definedNames>
    <definedName name="Aporte">Planilha1!$D$17</definedName>
    <definedName name="Rendimento_carteira">Planilha1!$D$13</definedName>
    <definedName name="Taxa">Planilha1!$D$19</definedName>
    <definedName name="Tempo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D37" i="1" s="1"/>
  <c r="C38" i="1"/>
  <c r="C39" i="1"/>
  <c r="C34" i="1"/>
  <c r="G5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C31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6" i="1" l="1"/>
  <c r="D35" i="1"/>
  <c r="D34" i="1"/>
  <c r="D39" i="1"/>
  <c r="D38" i="1"/>
  <c r="D40" i="1" l="1"/>
</calcChain>
</file>

<file path=xl/sharedStrings.xml><?xml version="1.0" encoding="utf-8"?>
<sst xmlns="http://schemas.openxmlformats.org/spreadsheetml/2006/main" count="70" uniqueCount="35">
  <si>
    <t>Quanto poupar por mês</t>
  </si>
  <si>
    <t>Por Quantos anos?</t>
  </si>
  <si>
    <t>Patrimônio acumulado?</t>
  </si>
  <si>
    <t>Taxa de Rendimento mensal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</si>
  <si>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</si>
  <si>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</si>
  <si>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</si>
  <si>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</si>
  <si>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</si>
  <si>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</si>
  <si>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</si>
  <si>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Rendimentos</t>
  </si>
  <si>
    <t xml:space="preserve">Configurações </t>
  </si>
  <si>
    <t>Salário</t>
  </si>
  <si>
    <t>Rendimento Carteira</t>
  </si>
  <si>
    <t>Sugestão de Investimentos</t>
  </si>
  <si>
    <r>
      <t xml:space="preserve">Dividendos mensais </t>
    </r>
    <r>
      <rPr>
        <b/>
        <i/>
        <sz val="10"/>
        <color theme="1"/>
        <rFont val="Calibri"/>
        <family val="2"/>
      </rPr>
      <t>(considerar 1% a.m é o mais seguro)</t>
    </r>
  </si>
  <si>
    <t>Perfil</t>
  </si>
  <si>
    <t>Agressivo</t>
  </si>
  <si>
    <t>VALOR A SER INVESTIDO POR MÊS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</si>
  <si>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</si>
  <si>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</si>
  <si>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</si>
  <si>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</si>
  <si>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</si>
  <si>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</si>
  <si>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</si>
  <si>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</si>
  <si>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TIPOS DE FII</t>
  </si>
  <si>
    <t>PERFIL</t>
  </si>
  <si>
    <t>Conservador</t>
  </si>
  <si>
    <t>%</t>
  </si>
  <si>
    <t>Moderado</t>
  </si>
  <si>
    <t>CHAVE ÚNICA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</si>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</sst>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7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20"/>
      <color theme="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sz val="18"/>
      <color theme="0"/>
      <name val="Calibri"/>
      <family val="2"/>
    </font>
    <font>
      <b/>
      <sz val="14"/>
      <color theme="0"/>
      <name val="Calibri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8">
    <xf numFmtId="0" fontId="0" fillId="0" borderId="0" xfId="0"/>
    <xf numFmtId="0" fontId="0" fillId="0" borderId="0" xfId="0" applyBorder="1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167" fontId="6" fillId="0" borderId="13" xfId="0" applyNumberFormat="1" applyFont="1" applyBorder="1"/>
    <xf numFmtId="9" fontId="6" fillId="0" borderId="14" xfId="0" applyNumberFormat="1" applyFont="1" applyBorder="1"/>
    <xf numFmtId="167" fontId="6" fillId="0" borderId="15" xfId="0" applyNumberFormat="1" applyFont="1" applyBorder="1"/>
    <xf numFmtId="0" fontId="7" fillId="5" borderId="2" xfId="0" applyFont="1" applyFill="1" applyBorder="1"/>
    <xf numFmtId="8" fontId="7" fillId="5" borderId="11" xfId="0" applyNumberFormat="1" applyFont="1" applyFill="1" applyBorder="1" applyAlignment="1">
      <alignment horizontal="center"/>
    </xf>
    <xf numFmtId="8" fontId="7" fillId="5" borderId="3" xfId="0" applyNumberFormat="1" applyFont="1" applyFill="1" applyBorder="1" applyAlignment="1">
      <alignment horizontal="center"/>
    </xf>
    <xf numFmtId="0" fontId="7" fillId="5" borderId="4" xfId="0" applyFont="1" applyFill="1" applyBorder="1"/>
    <xf numFmtId="8" fontId="7" fillId="5" borderId="10" xfId="0" applyNumberFormat="1" applyFont="1" applyFill="1" applyBorder="1" applyAlignment="1">
      <alignment horizontal="center"/>
    </xf>
    <xf numFmtId="8" fontId="7" fillId="5" borderId="5" xfId="0" applyNumberFormat="1" applyFont="1" applyFill="1" applyBorder="1" applyAlignment="1">
      <alignment horizontal="center"/>
    </xf>
    <xf numFmtId="0" fontId="7" fillId="5" borderId="6" xfId="0" applyFont="1" applyFill="1" applyBorder="1"/>
    <xf numFmtId="8" fontId="7" fillId="5" borderId="12" xfId="0" applyNumberFormat="1" applyFont="1" applyFill="1" applyBorder="1" applyAlignment="1">
      <alignment horizontal="center"/>
    </xf>
    <xf numFmtId="8" fontId="7" fillId="5" borderId="7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vertical="center"/>
    </xf>
    <xf numFmtId="167" fontId="6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5" borderId="21" xfId="0" applyFont="1" applyFill="1" applyBorder="1" applyAlignment="1">
      <alignment horizontal="left"/>
    </xf>
    <xf numFmtId="0" fontId="7" fillId="5" borderId="20" xfId="0" applyFont="1" applyFill="1" applyBorder="1" applyAlignment="1">
      <alignment horizontal="left"/>
    </xf>
    <xf numFmtId="0" fontId="7" fillId="5" borderId="22" xfId="0" applyFont="1" applyFill="1" applyBorder="1" applyAlignment="1">
      <alignment horizontal="left"/>
    </xf>
    <xf numFmtId="0" fontId="7" fillId="5" borderId="23" xfId="0" applyFont="1" applyFill="1" applyBorder="1" applyAlignment="1">
      <alignment horizontal="left"/>
    </xf>
    <xf numFmtId="0" fontId="13" fillId="3" borderId="8" xfId="0" applyFont="1" applyFill="1" applyBorder="1" applyAlignment="1">
      <alignment vertical="center"/>
    </xf>
    <xf numFmtId="0" fontId="14" fillId="3" borderId="16" xfId="0" applyFont="1" applyFill="1" applyBorder="1" applyAlignment="1">
      <alignment vertical="center"/>
    </xf>
    <xf numFmtId="0" fontId="7" fillId="0" borderId="2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0" fontId="6" fillId="0" borderId="26" xfId="1" applyNumberFormat="1" applyFont="1" applyBorder="1" applyAlignment="1">
      <alignment horizontal="center"/>
    </xf>
    <xf numFmtId="0" fontId="9" fillId="4" borderId="19" xfId="0" applyFont="1" applyFill="1" applyBorder="1" applyAlignment="1">
      <alignment horizontal="left"/>
    </xf>
    <xf numFmtId="0" fontId="9" fillId="4" borderId="20" xfId="0" applyFont="1" applyFill="1" applyBorder="1" applyAlignment="1">
      <alignment horizontal="left"/>
    </xf>
    <xf numFmtId="8" fontId="10" fillId="4" borderId="18" xfId="0" applyNumberFormat="1" applyFont="1" applyFill="1" applyBorder="1" applyAlignment="1">
      <alignment horizontal="center"/>
    </xf>
    <xf numFmtId="0" fontId="9" fillId="4" borderId="22" xfId="0" applyFont="1" applyFill="1" applyBorder="1" applyAlignment="1">
      <alignment horizontal="left"/>
    </xf>
    <xf numFmtId="0" fontId="9" fillId="4" borderId="27" xfId="0" applyFont="1" applyFill="1" applyBorder="1" applyAlignment="1">
      <alignment horizontal="left"/>
    </xf>
    <xf numFmtId="8" fontId="10" fillId="4" borderId="28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12" fillId="3" borderId="29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1" fillId="0" borderId="0" xfId="0" applyFont="1" applyFill="1"/>
    <xf numFmtId="0" fontId="2" fillId="2" borderId="0" xfId="2" applyBorder="1" applyAlignment="1">
      <alignment horizontal="center"/>
    </xf>
    <xf numFmtId="0" fontId="0" fillId="5" borderId="0" xfId="0" applyFill="1"/>
    <xf numFmtId="167" fontId="0" fillId="5" borderId="0" xfId="0" applyNumberFormat="1" applyFill="1"/>
    <xf numFmtId="0" fontId="3" fillId="4" borderId="0" xfId="0" applyFont="1" applyFill="1"/>
    <xf numFmtId="0" fontId="0" fillId="4" borderId="0" xfId="0" applyFill="1"/>
    <xf numFmtId="167" fontId="0" fillId="4" borderId="0" xfId="0" applyNumberFormat="1" applyFill="1"/>
    <xf numFmtId="0" fontId="2" fillId="2" borderId="0" xfId="2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0" xfId="0" applyNumberFormat="1" applyBorder="1" applyAlignment="1">
      <alignment horizontal="center"/>
    </xf>
    <xf numFmtId="0" fontId="0" fillId="0" borderId="30" xfId="0" applyBorder="1"/>
    <xf numFmtId="0" fontId="0" fillId="0" borderId="0" xfId="0" applyFill="1" applyBorder="1"/>
    <xf numFmtId="9" fontId="0" fillId="0" borderId="30" xfId="0" applyNumberFormat="1" applyBorder="1" applyAlignment="1">
      <alignment horizontal="left"/>
    </xf>
    <xf numFmtId="9" fontId="0" fillId="0" borderId="0" xfId="0" applyNumberFormat="1" applyBorder="1" applyAlignment="1">
      <alignment horizontal="center"/>
    </xf>
    <xf numFmtId="9" fontId="0" fillId="0" borderId="0" xfId="0" applyNumberFormat="1" applyBorder="1" applyAlignment="1">
      <alignment horizontal="left"/>
    </xf>
    <xf numFmtId="9" fontId="0" fillId="0" borderId="31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0" borderId="30" xfId="1" applyFont="1" applyBorder="1" applyAlignment="1">
      <alignment horizontal="center"/>
    </xf>
    <xf numFmtId="9" fontId="2" fillId="2" borderId="0" xfId="2" applyNumberFormat="1" applyBorder="1" applyAlignment="1">
      <alignment horizontal="left"/>
    </xf>
    <xf numFmtId="9" fontId="0" fillId="0" borderId="0" xfId="1" applyFont="1"/>
    <xf numFmtId="167" fontId="16" fillId="5" borderId="0" xfId="0" applyNumberFormat="1" applyFont="1" applyFill="1"/>
    <xf numFmtId="0" fontId="0" fillId="0" borderId="0" xfId="0" applyFill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57150</xdr:rowOff>
    </xdr:from>
    <xdr:to>
      <xdr:col>4</xdr:col>
      <xdr:colOff>8745</xdr:colOff>
      <xdr:row>9</xdr:row>
      <xdr:rowOff>9526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781C3CC-EDEF-E46E-AB6A-9FA9FB8D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7650"/>
          <a:ext cx="4961745" cy="1476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0B81-7F7A-4F47-8485-BF7A4F8DB031}">
  <dimension ref="A1:H43"/>
  <sheetViews>
    <sheetView showGridLines="0" showRowColHeaders="0" tabSelected="1" zoomScaleNormal="100" workbookViewId="0">
      <selection activeCell="E47" sqref="E47"/>
    </sheetView>
  </sheetViews>
  <sheetFormatPr defaultColWidth="0" defaultRowHeight="15" x14ac:dyDescent="0.25"/>
  <cols>
    <col min="1" max="1" width="5" style="67" customWidth="1"/>
    <col min="2" max="2" width="27" style="67" bestFit="1" customWidth="1"/>
    <col min="3" max="3" width="28.42578125" style="67" customWidth="1"/>
    <col min="4" max="4" width="17.28515625" style="67" customWidth="1"/>
    <col min="5" max="5" width="7.28515625" style="67" customWidth="1"/>
    <col min="6" max="6" width="12.140625" hidden="1"/>
    <col min="9" max="16384" width="9.140625" hidden="1"/>
  </cols>
  <sheetData>
    <row r="1" spans="2:4" customFormat="1" x14ac:dyDescent="0.25"/>
    <row r="2" spans="2:4" customFormat="1" x14ac:dyDescent="0.25"/>
    <row r="3" spans="2:4" customFormat="1" x14ac:dyDescent="0.25"/>
    <row r="4" spans="2:4" customFormat="1" x14ac:dyDescent="0.25"/>
    <row r="5" spans="2:4" customFormat="1" x14ac:dyDescent="0.25"/>
    <row r="6" spans="2:4" customFormat="1" x14ac:dyDescent="0.25"/>
    <row r="7" spans="2:4" customFormat="1" x14ac:dyDescent="0.25"/>
    <row r="8" spans="2:4" customFormat="1" x14ac:dyDescent="0.25"/>
    <row r="9" spans="2:4" customFormat="1" x14ac:dyDescent="0.25"/>
    <row r="10" spans="2:4" customFormat="1" ht="15.75" thickBot="1" x14ac:dyDescent="0.3"/>
    <row r="11" spans="2:4" customFormat="1" ht="23.25" customHeight="1" x14ac:dyDescent="0.25">
      <c r="B11" s="41" t="s">
        <v>12</v>
      </c>
      <c r="C11" s="42"/>
      <c r="D11" s="43"/>
    </row>
    <row r="12" spans="2:4" customFormat="1" ht="15.75" x14ac:dyDescent="0.25">
      <c r="B12" s="24" t="s">
        <v>13</v>
      </c>
      <c r="C12" s="23"/>
      <c r="D12" s="6">
        <v>5000</v>
      </c>
    </row>
    <row r="13" spans="2:4" customFormat="1" ht="15.75" x14ac:dyDescent="0.25">
      <c r="B13" s="24" t="s">
        <v>14</v>
      </c>
      <c r="C13" s="23"/>
      <c r="D13" s="7">
        <v>0.01</v>
      </c>
    </row>
    <row r="14" spans="2:4" customFormat="1" ht="16.5" thickBot="1" x14ac:dyDescent="0.3">
      <c r="B14" s="25" t="s">
        <v>15</v>
      </c>
      <c r="C14" s="26"/>
      <c r="D14" s="8">
        <f>D12*30%</f>
        <v>1500</v>
      </c>
    </row>
    <row r="15" spans="2:4" customFormat="1" ht="6.75" customHeight="1" thickBot="1" x14ac:dyDescent="0.3">
      <c r="B15" s="5"/>
      <c r="C15" s="5"/>
      <c r="D15" s="5"/>
    </row>
    <row r="16" spans="2:4" customFormat="1" ht="25.5" customHeight="1" x14ac:dyDescent="0.25">
      <c r="B16" s="27" t="s">
        <v>4</v>
      </c>
      <c r="C16" s="28"/>
      <c r="D16" s="18"/>
    </row>
    <row r="17" spans="1:7" ht="15.75" x14ac:dyDescent="0.25">
      <c r="A17"/>
      <c r="B17" s="22" t="s">
        <v>0</v>
      </c>
      <c r="C17" s="21"/>
      <c r="D17" s="19">
        <v>500</v>
      </c>
      <c r="E17"/>
    </row>
    <row r="18" spans="1:7" ht="15.75" x14ac:dyDescent="0.25">
      <c r="A18"/>
      <c r="B18" s="22" t="s">
        <v>1</v>
      </c>
      <c r="C18" s="21"/>
      <c r="D18" s="20">
        <v>5</v>
      </c>
      <c r="E18"/>
    </row>
    <row r="19" spans="1:7" ht="15.75" x14ac:dyDescent="0.25">
      <c r="A19"/>
      <c r="B19" s="29" t="s">
        <v>3</v>
      </c>
      <c r="C19" s="30"/>
      <c r="D19" s="31">
        <v>1.0789999999999999E-2</v>
      </c>
      <c r="E19"/>
    </row>
    <row r="20" spans="1:7" ht="15.75" x14ac:dyDescent="0.25">
      <c r="A20"/>
      <c r="B20" s="33" t="s">
        <v>2</v>
      </c>
      <c r="C20" s="32"/>
      <c r="D20" s="34">
        <f>FV(Taxa,Tempo*12,D17*-1)</f>
        <v>41888.456999243819</v>
      </c>
      <c r="E20"/>
    </row>
    <row r="21" spans="1:7" ht="16.5" thickBot="1" x14ac:dyDescent="0.3">
      <c r="A21"/>
      <c r="B21" s="35" t="s">
        <v>16</v>
      </c>
      <c r="C21" s="36"/>
      <c r="D21" s="37">
        <f>D20*Rendimento_carteira</f>
        <v>418.88456999243817</v>
      </c>
      <c r="E21"/>
      <c r="G21" s="2"/>
    </row>
    <row r="22" spans="1:7" ht="6.75" customHeight="1" thickBot="1" x14ac:dyDescent="0.3">
      <c r="A22"/>
      <c r="B22" s="5"/>
      <c r="C22" s="44"/>
      <c r="D22" s="5"/>
      <c r="E22"/>
    </row>
    <row r="23" spans="1:7" ht="27.75" customHeight="1" thickBot="1" x14ac:dyDescent="0.3">
      <c r="A23"/>
      <c r="B23" s="38" t="s">
        <v>10</v>
      </c>
      <c r="C23" s="39"/>
      <c r="D23" s="40" t="s">
        <v>11</v>
      </c>
      <c r="E23"/>
    </row>
    <row r="24" spans="1:7" ht="15.75" x14ac:dyDescent="0.25">
      <c r="A24" s="3">
        <v>2</v>
      </c>
      <c r="B24" s="9" t="s">
        <v>5</v>
      </c>
      <c r="C24" s="10">
        <f>FV($D$19,$A24*12,$D$17*-1)</f>
        <v>13613.813648822608</v>
      </c>
      <c r="D24" s="11">
        <f>C24*Rendimento_carteira</f>
        <v>136.13813648822608</v>
      </c>
      <c r="E24"/>
    </row>
    <row r="25" spans="1:7" ht="15.75" x14ac:dyDescent="0.25">
      <c r="A25" s="3">
        <v>5</v>
      </c>
      <c r="B25" s="12" t="s">
        <v>6</v>
      </c>
      <c r="C25" s="13">
        <f>FV($D$19,$A25*12,$D$17*-1)</f>
        <v>41888.456999243819</v>
      </c>
      <c r="D25" s="14">
        <f>C25*Rendimento_carteira</f>
        <v>418.88456999243817</v>
      </c>
      <c r="E25"/>
    </row>
    <row r="26" spans="1:7" ht="15.75" x14ac:dyDescent="0.25">
      <c r="A26" s="3">
        <v>10</v>
      </c>
      <c r="B26" s="12" t="s">
        <v>7</v>
      </c>
      <c r="C26" s="13">
        <f>FV($D$19,$A26*12,$D$17*-1)</f>
        <v>121642.1062650861</v>
      </c>
      <c r="D26" s="14">
        <f>C26*Rendimento_carteira</f>
        <v>1216.4210626508609</v>
      </c>
      <c r="E26"/>
    </row>
    <row r="27" spans="1:7" ht="15" customHeight="1" x14ac:dyDescent="0.25">
      <c r="A27" s="3">
        <v>20</v>
      </c>
      <c r="B27" s="12" t="s">
        <v>8</v>
      </c>
      <c r="C27" s="13">
        <f>FV($D$19,$A27*12,$D$17*-1)</f>
        <v>562599.20004854025</v>
      </c>
      <c r="D27" s="14">
        <f>C27*Rendimento_carteira</f>
        <v>5625.992000485403</v>
      </c>
      <c r="E27"/>
    </row>
    <row r="28" spans="1:7" ht="16.5" thickBot="1" x14ac:dyDescent="0.3">
      <c r="A28" s="3">
        <v>30</v>
      </c>
      <c r="B28" s="15" t="s">
        <v>9</v>
      </c>
      <c r="C28" s="16">
        <f>FV($D$19,$A28*12,$D$17*-1)</f>
        <v>2161084.8275023573</v>
      </c>
      <c r="D28" s="17">
        <f>C28*Rendimento_carteira</f>
        <v>21610.848275023574</v>
      </c>
      <c r="E28"/>
    </row>
    <row r="29" spans="1:7" ht="6.75" customHeight="1" x14ac:dyDescent="0.25">
      <c r="A29"/>
      <c r="B29"/>
      <c r="C29"/>
      <c r="D29"/>
      <c r="E29"/>
    </row>
    <row r="30" spans="1:7" x14ac:dyDescent="0.25">
      <c r="A30"/>
      <c r="B30" s="45" t="s">
        <v>17</v>
      </c>
      <c r="C30" s="51" t="s">
        <v>32</v>
      </c>
      <c r="D30" s="51"/>
      <c r="E30"/>
    </row>
    <row r="31" spans="1:7" x14ac:dyDescent="0.25">
      <c r="A31"/>
      <c r="B31" s="46" t="s">
        <v>19</v>
      </c>
      <c r="C31" s="47">
        <f>Aporte</f>
        <v>500</v>
      </c>
      <c r="D31" s="46"/>
      <c r="E31"/>
    </row>
    <row r="32" spans="1:7" x14ac:dyDescent="0.25">
      <c r="A32"/>
      <c r="B32"/>
      <c r="C32"/>
      <c r="D32"/>
      <c r="E32"/>
    </row>
    <row r="33" spans="1:5" x14ac:dyDescent="0.25">
      <c r="A33"/>
      <c r="B33" s="48" t="s">
        <v>28</v>
      </c>
      <c r="C33" s="48" t="s">
        <v>20</v>
      </c>
      <c r="D33" s="48" t="s">
        <v>21</v>
      </c>
      <c r="E33"/>
    </row>
    <row r="34" spans="1:5" x14ac:dyDescent="0.25">
      <c r="A34"/>
      <c r="B34" t="s">
        <v>22</v>
      </c>
      <c r="C34" s="52">
        <f>VLOOKUP($C$30&amp;"-"&amp;B34,Planilha2!$A$3:$D$21,4,FALSE)</f>
        <v>0.32</v>
      </c>
      <c r="D34" s="66">
        <f>C34*$C$31</f>
        <v>160</v>
      </c>
      <c r="E34"/>
    </row>
    <row r="35" spans="1:5" x14ac:dyDescent="0.25">
      <c r="A35"/>
      <c r="B35" t="s">
        <v>23</v>
      </c>
      <c r="C35" s="52">
        <f>VLOOKUP($C$30&amp;"-"&amp;B35,Planilha2!$A$3:$D$21,4,FALSE)</f>
        <v>0.35</v>
      </c>
      <c r="D35" s="66">
        <f t="shared" ref="D35:D39" si="0">C35*$C$31</f>
        <v>175</v>
      </c>
      <c r="E35"/>
    </row>
    <row r="36" spans="1:5" x14ac:dyDescent="0.25">
      <c r="A36"/>
      <c r="B36" t="s">
        <v>24</v>
      </c>
      <c r="C36" s="52">
        <f>VLOOKUP($C$30&amp;"-"&amp;B36,Planilha2!$A$3:$D$21,4,FALSE)</f>
        <v>0.08</v>
      </c>
      <c r="D36" s="66">
        <f t="shared" si="0"/>
        <v>40</v>
      </c>
      <c r="E36"/>
    </row>
    <row r="37" spans="1:5" x14ac:dyDescent="0.25">
      <c r="A37"/>
      <c r="B37" t="s">
        <v>25</v>
      </c>
      <c r="C37" s="52">
        <f>VLOOKUP($C$30&amp;"-"&amp;B37,Planilha2!$A$3:$D$21,4,FALSE)</f>
        <v>0.05</v>
      </c>
      <c r="D37" s="66">
        <f t="shared" si="0"/>
        <v>25</v>
      </c>
      <c r="E37"/>
    </row>
    <row r="38" spans="1:5" x14ac:dyDescent="0.25">
      <c r="A38"/>
      <c r="B38" t="s">
        <v>26</v>
      </c>
      <c r="C38" s="52">
        <f>VLOOKUP($C$30&amp;"-"&amp;B38,Planilha2!$A$3:$D$21,4,FALSE)</f>
        <v>0.1</v>
      </c>
      <c r="D38" s="66">
        <f t="shared" si="0"/>
        <v>50</v>
      </c>
      <c r="E38"/>
    </row>
    <row r="39" spans="1:5" x14ac:dyDescent="0.25">
      <c r="A39"/>
      <c r="B39" t="s">
        <v>27</v>
      </c>
      <c r="C39" s="52">
        <f>VLOOKUP($C$30&amp;"-"&amp;B39,Planilha2!$A$3:$D$21,4,FALSE)</f>
        <v>0.1</v>
      </c>
      <c r="D39" s="66">
        <f t="shared" si="0"/>
        <v>50</v>
      </c>
      <c r="E39"/>
    </row>
    <row r="40" spans="1:5" x14ac:dyDescent="0.25">
      <c r="A40"/>
      <c r="B40" s="49"/>
      <c r="C40" s="49"/>
      <c r="D40" s="50">
        <f>SUM(D34:D39)</f>
        <v>500</v>
      </c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</sheetData>
  <mergeCells count="10">
    <mergeCell ref="B11:D11"/>
    <mergeCell ref="C30:D30"/>
    <mergeCell ref="B20:C20"/>
    <mergeCell ref="B21:C21"/>
    <mergeCell ref="B12:C12"/>
    <mergeCell ref="B13:C13"/>
    <mergeCell ref="B14:C14"/>
    <mergeCell ref="B19:C19"/>
    <mergeCell ref="B17:C17"/>
    <mergeCell ref="B18:C18"/>
  </mergeCells>
  <dataValidations count="1">
    <dataValidation type="list" allowBlank="1" showInputMessage="1" showErrorMessage="1" sqref="C30" xr:uid="{B9CA2A64-419C-4928-B876-268E7F8E619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CA5-977A-4E1A-A5B0-E55B18A5E354}">
  <dimension ref="A3:G21"/>
  <sheetViews>
    <sheetView workbookViewId="0">
      <selection activeCell="D14" sqref="D14"/>
    </sheetView>
  </sheetViews>
  <sheetFormatPr defaultRowHeight="15" x14ac:dyDescent="0.25"/>
  <cols>
    <col min="1" max="1" width="30.85546875" bestFit="1" customWidth="1"/>
    <col min="2" max="2" width="14" customWidth="1"/>
    <col min="3" max="3" width="18.5703125" bestFit="1" customWidth="1"/>
    <col min="4" max="4" width="12.140625" style="4" bestFit="1" customWidth="1"/>
    <col min="6" max="6" width="18.140625" customWidth="1"/>
  </cols>
  <sheetData>
    <row r="3" spans="1:7" x14ac:dyDescent="0.25">
      <c r="A3" t="s">
        <v>33</v>
      </c>
      <c r="B3" t="s">
        <v>29</v>
      </c>
      <c r="C3" s="48" t="s">
        <v>28</v>
      </c>
      <c r="D3" s="4" t="s">
        <v>31</v>
      </c>
    </row>
    <row r="4" spans="1:7" x14ac:dyDescent="0.25">
      <c r="A4" s="52" t="str">
        <f>B4&amp;"-"&amp;C4</f>
        <v>Conservador-PAPEL</v>
      </c>
      <c r="B4" t="s">
        <v>30</v>
      </c>
      <c r="C4" t="s">
        <v>22</v>
      </c>
      <c r="D4" s="52">
        <v>0.3</v>
      </c>
    </row>
    <row r="5" spans="1:7" x14ac:dyDescent="0.25">
      <c r="A5" s="52" t="str">
        <f t="shared" ref="A5:A21" si="0">B5&amp;"-"&amp;C5</f>
        <v>Conservador-TIJOLO</v>
      </c>
      <c r="B5" t="s">
        <v>30</v>
      </c>
      <c r="C5" t="s">
        <v>23</v>
      </c>
      <c r="D5" s="52">
        <v>0.5</v>
      </c>
      <c r="F5" s="64" t="s">
        <v>34</v>
      </c>
      <c r="G5" s="65">
        <f>VLOOKUP(F5,$A:$D,4,FALSE)</f>
        <v>0.35</v>
      </c>
    </row>
    <row r="6" spans="1:7" x14ac:dyDescent="0.25">
      <c r="A6" s="52" t="str">
        <f t="shared" si="0"/>
        <v>Conservador-HÍBRIDOS</v>
      </c>
      <c r="B6" t="s">
        <v>30</v>
      </c>
      <c r="C6" t="s">
        <v>24</v>
      </c>
      <c r="D6" s="52">
        <v>0.1</v>
      </c>
    </row>
    <row r="7" spans="1:7" x14ac:dyDescent="0.25">
      <c r="A7" s="52" t="str">
        <f t="shared" si="0"/>
        <v>Conservador-FOF'S</v>
      </c>
      <c r="B7" t="s">
        <v>30</v>
      </c>
      <c r="C7" t="s">
        <v>25</v>
      </c>
      <c r="D7" s="52">
        <v>0.1</v>
      </c>
    </row>
    <row r="8" spans="1:7" x14ac:dyDescent="0.25">
      <c r="A8" s="52" t="str">
        <f t="shared" si="0"/>
        <v>Conservador-DESENVOLVIMENTO</v>
      </c>
      <c r="B8" t="s">
        <v>30</v>
      </c>
      <c r="C8" t="s">
        <v>26</v>
      </c>
      <c r="D8" s="52">
        <v>0</v>
      </c>
    </row>
    <row r="9" spans="1:7" ht="15.75" thickBot="1" x14ac:dyDescent="0.3">
      <c r="A9" s="59" t="str">
        <f t="shared" si="0"/>
        <v>Conservador-HOTELARIAS</v>
      </c>
      <c r="B9" s="54" t="s">
        <v>30</v>
      </c>
      <c r="C9" s="54" t="s">
        <v>27</v>
      </c>
      <c r="D9" s="53">
        <v>0</v>
      </c>
    </row>
    <row r="10" spans="1:7" x14ac:dyDescent="0.25">
      <c r="A10" s="58" t="str">
        <f t="shared" si="0"/>
        <v>Moderado-PAPEL</v>
      </c>
      <c r="B10" t="s">
        <v>32</v>
      </c>
      <c r="C10" t="s">
        <v>22</v>
      </c>
      <c r="D10" s="60">
        <v>0.32</v>
      </c>
    </row>
    <row r="11" spans="1:7" x14ac:dyDescent="0.25">
      <c r="A11" s="58" t="str">
        <f t="shared" si="0"/>
        <v>Moderado-TIJOLO</v>
      </c>
      <c r="B11" t="s">
        <v>32</v>
      </c>
      <c r="C11" t="s">
        <v>23</v>
      </c>
      <c r="D11" s="60">
        <v>0.35</v>
      </c>
    </row>
    <row r="12" spans="1:7" x14ac:dyDescent="0.25">
      <c r="A12" s="58" t="str">
        <f t="shared" si="0"/>
        <v>Moderado-HÍBRIDOS</v>
      </c>
      <c r="B12" t="s">
        <v>32</v>
      </c>
      <c r="C12" t="s">
        <v>24</v>
      </c>
      <c r="D12" s="62">
        <v>0.08</v>
      </c>
    </row>
    <row r="13" spans="1:7" x14ac:dyDescent="0.25">
      <c r="A13" s="58" t="str">
        <f t="shared" si="0"/>
        <v>Moderado-FOF'S</v>
      </c>
      <c r="B13" t="s">
        <v>32</v>
      </c>
      <c r="C13" t="s">
        <v>25</v>
      </c>
      <c r="D13" s="61">
        <v>0.05</v>
      </c>
    </row>
    <row r="14" spans="1:7" x14ac:dyDescent="0.25">
      <c r="A14" s="58" t="str">
        <f t="shared" si="0"/>
        <v>Moderado-DESENVOLVIMENTO</v>
      </c>
      <c r="B14" t="s">
        <v>32</v>
      </c>
      <c r="C14" t="s">
        <v>26</v>
      </c>
      <c r="D14" s="61">
        <v>0.1</v>
      </c>
    </row>
    <row r="15" spans="1:7" ht="15.75" thickBot="1" x14ac:dyDescent="0.3">
      <c r="A15" s="56" t="str">
        <f t="shared" si="0"/>
        <v>Moderado-HOTELARIAS</v>
      </c>
      <c r="B15" s="54" t="s">
        <v>32</v>
      </c>
      <c r="C15" s="54" t="s">
        <v>27</v>
      </c>
      <c r="D15" s="63">
        <v>0.1</v>
      </c>
    </row>
    <row r="16" spans="1:7" x14ac:dyDescent="0.25">
      <c r="A16" s="1" t="str">
        <f t="shared" si="0"/>
        <v>Agressivo-PAPEL</v>
      </c>
      <c r="B16" s="55" t="s">
        <v>18</v>
      </c>
      <c r="C16" t="s">
        <v>22</v>
      </c>
      <c r="D16" s="57">
        <v>0.5</v>
      </c>
    </row>
    <row r="17" spans="1:4" x14ac:dyDescent="0.25">
      <c r="A17" t="str">
        <f t="shared" si="0"/>
        <v>Agressivo-TIJOLO</v>
      </c>
      <c r="B17" t="s">
        <v>18</v>
      </c>
      <c r="C17" t="s">
        <v>23</v>
      </c>
      <c r="D17" s="52">
        <v>0.1</v>
      </c>
    </row>
    <row r="18" spans="1:4" x14ac:dyDescent="0.25">
      <c r="A18" t="str">
        <f t="shared" si="0"/>
        <v>Agressivo-HÍBRIDOS</v>
      </c>
      <c r="B18" t="s">
        <v>18</v>
      </c>
      <c r="C18" t="s">
        <v>24</v>
      </c>
      <c r="D18" s="52">
        <v>0.05</v>
      </c>
    </row>
    <row r="19" spans="1:4" x14ac:dyDescent="0.25">
      <c r="A19" t="str">
        <f t="shared" si="0"/>
        <v>Agressivo-FOF'S</v>
      </c>
      <c r="B19" t="s">
        <v>18</v>
      </c>
      <c r="C19" t="s">
        <v>25</v>
      </c>
      <c r="D19" s="52">
        <v>0.05</v>
      </c>
    </row>
    <row r="20" spans="1:4" x14ac:dyDescent="0.25">
      <c r="A20" t="str">
        <f t="shared" si="0"/>
        <v>Agressivo-DESENVOLVIMENTO</v>
      </c>
      <c r="B20" t="s">
        <v>18</v>
      </c>
      <c r="C20" t="s">
        <v>26</v>
      </c>
      <c r="D20" s="52">
        <v>0.2</v>
      </c>
    </row>
    <row r="21" spans="1:4" x14ac:dyDescent="0.25">
      <c r="A21" t="str">
        <f t="shared" si="0"/>
        <v>Agressivo-HOTELARIAS</v>
      </c>
      <c r="B21" t="s">
        <v>18</v>
      </c>
      <c r="C21" t="s">
        <v>27</v>
      </c>
      <c r="D21" s="5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Aporte</vt:lpstr>
      <vt:lpstr>Rendimento_carteira</vt:lpstr>
      <vt:lpstr>Taxa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Giacomo</dc:creator>
  <cp:lastModifiedBy>Fernanda Giacomo</cp:lastModifiedBy>
  <dcterms:created xsi:type="dcterms:W3CDTF">2026-01-15T23:32:06Z</dcterms:created>
  <dcterms:modified xsi:type="dcterms:W3CDTF">2026-01-16T01:33:37Z</dcterms:modified>
</cp:coreProperties>
</file>